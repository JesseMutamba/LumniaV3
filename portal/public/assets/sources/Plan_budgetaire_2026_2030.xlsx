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RECAP" sheetId="2" state="visible" r:id="rId2"/>
    <sheet name="charges 2026" sheetId="3" state="visible" r:id="rId3"/>
    <sheet name="glossaire" sheetId="4" state="visible" r:id="rId4"/>
    <sheet name="hypotheses" sheetId="5" state="visible" r:id="rId5"/>
    <sheet name="pepiniere" sheetId="6" state="visible" r:id="rId6"/>
    <sheet name="amortissements" sheetId="7" state="visible" r:id="rId7"/>
    <sheet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80808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right"/>
    </xf>
    <xf numFmtId="3" fontId="0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30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2">
      <c r="B2" s="1" t="inlineStr">
        <is>
          <t>BUDGET 2026 — DOMAINE (EXEMPLE)</t>
        </is>
      </c>
    </row>
    <row r="4">
      <c r="B4" s="2" t="inlineStr">
        <is>
          <t>Chiffres illustratifs. Aucune donnee client.</t>
        </is>
      </c>
    </row>
    <row r="10">
      <c r="C10" s="3" t="inlineStr">
        <is>
          <t>Jan</t>
        </is>
      </c>
      <c r="D10" s="3" t="inlineStr">
        <is>
          <t>Fev</t>
        </is>
      </c>
      <c r="E10" s="3" t="inlineStr">
        <is>
          <t>Mar</t>
        </is>
      </c>
      <c r="F10" s="3" t="inlineStr">
        <is>
          <t>Avr</t>
        </is>
      </c>
      <c r="G10" s="3" t="inlineStr">
        <is>
          <t>Mai</t>
        </is>
      </c>
      <c r="H10" s="3" t="inlineStr">
        <is>
          <t>Juin</t>
        </is>
      </c>
      <c r="I10" s="3" t="inlineStr">
        <is>
          <t>Juil</t>
        </is>
      </c>
      <c r="J10" s="3" t="inlineStr">
        <is>
          <t>Aou</t>
        </is>
      </c>
      <c r="K10" s="3" t="inlineStr">
        <is>
          <t>Sep</t>
        </is>
      </c>
      <c r="L10" s="3" t="inlineStr">
        <is>
          <t>Oct</t>
        </is>
      </c>
      <c r="M10" s="3" t="inlineStr">
        <is>
          <t>Nov</t>
        </is>
      </c>
      <c r="N10" s="3" t="inlineStr">
        <is>
          <t>Dec</t>
        </is>
      </c>
    </row>
    <row r="11">
      <c r="B11" s="1" t="inlineStr">
        <is>
          <t>CHARGES D'EXPLOITATION (OPEX)</t>
        </is>
      </c>
    </row>
    <row r="12">
      <c r="B12" t="inlineStr">
        <is>
          <t>Total OPEX mensuel</t>
        </is>
      </c>
      <c r="C12" s="4" t="n">
        <v>95000</v>
      </c>
      <c r="D12" s="4" t="n">
        <v>100000</v>
      </c>
      <c r="E12" s="4" t="n">
        <v>100000</v>
      </c>
      <c r="F12" s="4" t="n">
        <v>95000</v>
      </c>
      <c r="G12" s="4" t="n">
        <v>100000</v>
      </c>
      <c r="H12" s="4" t="n">
        <v>100000</v>
      </c>
      <c r="I12" s="4" t="n">
        <v>95000</v>
      </c>
      <c r="J12" s="4" t="n">
        <v>100000</v>
      </c>
      <c r="K12" s="4" t="n">
        <v>100000</v>
      </c>
      <c r="L12" s="4" t="n">
        <v>95000</v>
      </c>
      <c r="M12" s="4" t="n">
        <v>100000</v>
      </c>
      <c r="N12" s="4" t="n">
        <v>100000</v>
      </c>
      <c r="P12">
        <f>SUM(C12:N12)</f>
        <v/>
      </c>
    </row>
    <row r="29">
      <c r="B29" s="1" t="inlineStr">
        <is>
          <t>INVESTISSEMENTS (CAPEX)</t>
        </is>
      </c>
    </row>
    <row r="30">
      <c r="B30" t="inlineStr">
        <is>
          <t>Total CAPEX mensuel</t>
        </is>
      </c>
      <c r="C30" s="4" t="n">
        <v>115000</v>
      </c>
      <c r="D30" s="4" t="n">
        <v>145000</v>
      </c>
      <c r="E30" s="4" t="n">
        <v>65000</v>
      </c>
      <c r="F30" s="4" t="n">
        <v>85000</v>
      </c>
      <c r="G30" s="4" t="n">
        <v>95000</v>
      </c>
      <c r="H30" s="4" t="n">
        <v>110000</v>
      </c>
      <c r="I30" s="4" t="n">
        <v>80000</v>
      </c>
      <c r="J30" s="4" t="n">
        <v>130000</v>
      </c>
      <c r="K30" s="4" t="n">
        <v>145000</v>
      </c>
      <c r="L30" s="4" t="n">
        <v>95000</v>
      </c>
      <c r="M30" s="4" t="n">
        <v>135000</v>
      </c>
      <c r="N30" s="4" t="n">
        <v>100000</v>
      </c>
      <c r="P30">
        <f>SUM(C30:N30)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2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2">
      <c r="B2" s="1" t="inlineStr">
        <is>
          <t>RECAP 2026-2030</t>
        </is>
      </c>
    </row>
    <row r="3">
      <c r="D3" s="3" t="n">
        <v>2026</v>
      </c>
      <c r="E3" s="3" t="n">
        <v>2027</v>
      </c>
      <c r="F3" s="3" t="n">
        <v>2028</v>
      </c>
      <c r="G3" s="3" t="n">
        <v>2029</v>
      </c>
      <c r="H3" s="3" t="n">
        <v>2030</v>
      </c>
    </row>
    <row r="4">
      <c r="B4" t="inlineStr">
        <is>
          <t>Hectares en exploitation</t>
        </is>
      </c>
      <c r="D4" t="n">
        <v>640</v>
      </c>
      <c r="E4" t="n">
        <v>900</v>
      </c>
      <c r="F4" t="n">
        <v>900</v>
      </c>
      <c r="G4" t="n">
        <v>820</v>
      </c>
      <c r="H4" t="n">
        <v>760</v>
      </c>
    </row>
    <row r="6">
      <c r="B6" t="inlineStr">
        <is>
          <t>CPO produit (t)</t>
        </is>
      </c>
      <c r="D6" t="n">
        <v>1179.92</v>
      </c>
      <c r="E6" t="n">
        <v>1690</v>
      </c>
      <c r="F6" t="n">
        <v>2340</v>
      </c>
      <c r="G6" t="n">
        <v>3610</v>
      </c>
      <c r="H6" t="n">
        <v>5140</v>
      </c>
    </row>
    <row r="7">
      <c r="B7" t="inlineStr">
        <is>
          <t>Revenus (USD)</t>
        </is>
      </c>
      <c r="D7" s="4" t="n">
        <v>1156321.6</v>
      </c>
      <c r="E7" s="4" t="n">
        <v>1656200</v>
      </c>
      <c r="F7" s="4" t="n">
        <v>2293200</v>
      </c>
      <c r="G7" s="4" t="n">
        <v>3537800</v>
      </c>
      <c r="H7" s="4" t="n">
        <v>5037200</v>
      </c>
    </row>
    <row r="14">
      <c r="B14" t="inlineStr">
        <is>
          <t>OPEX (USD)</t>
        </is>
      </c>
      <c r="D14" s="4" t="n">
        <v>1180000</v>
      </c>
      <c r="E14" s="4" t="n">
        <v>1410000</v>
      </c>
      <c r="F14" s="4" t="n">
        <v>1720000</v>
      </c>
      <c r="G14" s="4" t="n">
        <v>2180000</v>
      </c>
      <c r="H14" s="4" t="n">
        <v>2760000</v>
      </c>
    </row>
    <row r="18">
      <c r="B18" t="inlineStr">
        <is>
          <t>CAPEX (USD)</t>
        </is>
      </c>
      <c r="D18" s="4" t="n">
        <v>1300000</v>
      </c>
      <c r="E18" s="4" t="n">
        <v>880000</v>
      </c>
      <c r="F18" s="4" t="n">
        <v>640000</v>
      </c>
      <c r="G18" s="4" t="n">
        <v>520000</v>
      </c>
      <c r="H18" s="4" t="n">
        <v>310000</v>
      </c>
    </row>
    <row r="22">
      <c r="B22" t="inlineStr">
        <is>
          <t>Solde (USD)</t>
        </is>
      </c>
      <c r="D22" s="4" t="n">
        <v>-1323678.4</v>
      </c>
      <c r="E22" s="4" t="n">
        <v>-633800</v>
      </c>
      <c r="F22" s="4" t="n">
        <v>-66800</v>
      </c>
      <c r="G22" s="4" t="n">
        <v>837800</v>
      </c>
      <c r="H22" s="4" t="n">
        <v>1967200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46:C60"/>
  <sheetViews>
    <sheetView workbookViewId="0">
      <selection activeCell="A1" sqref="A1"/>
    </sheetView>
  </sheetViews>
  <sheetFormatPr baseColWidth="8" defaultRowHeight="15"/>
  <cols>
    <col width="28" customWidth="1" min="2" max="2"/>
    <col width="16" customWidth="1" min="3" max="3"/>
  </cols>
  <sheetData>
    <row r="46">
      <c r="B46" s="1" t="inlineStr">
        <is>
          <t>CHARGES PAR CENTRE DE COUT — 2026</t>
        </is>
      </c>
    </row>
    <row r="48">
      <c r="B48" t="inlineStr">
        <is>
          <t>CHAMP</t>
        </is>
      </c>
      <c r="C48" s="5" t="n">
        <v>96400</v>
      </c>
    </row>
    <row r="49">
      <c r="B49" t="inlineStr">
        <is>
          <t>PEPINIERE</t>
        </is>
      </c>
      <c r="C49" s="5" t="n">
        <v>41200</v>
      </c>
    </row>
    <row r="50">
      <c r="B50" t="inlineStr">
        <is>
          <t>ENTRETIEN BLOCS</t>
        </is>
      </c>
      <c r="C50" s="5" t="n">
        <v>33700</v>
      </c>
    </row>
    <row r="51">
      <c r="B51" t="inlineStr">
        <is>
          <t>RECOLTE</t>
        </is>
      </c>
      <c r="C51" s="5" t="n">
        <v>21500</v>
      </c>
    </row>
    <row r="52">
      <c r="B52" t="inlineStr">
        <is>
          <t>USINE</t>
        </is>
      </c>
      <c r="C52" s="5" t="n">
        <v>58300</v>
      </c>
    </row>
    <row r="53">
      <c r="B53" t="inlineStr">
        <is>
          <t>PRESSE</t>
        </is>
      </c>
      <c r="C53" s="5" t="n">
        <v>34900</v>
      </c>
    </row>
    <row r="54">
      <c r="B54" t="inlineStr">
        <is>
          <t>CHAUDIERE</t>
        </is>
      </c>
      <c r="C54" s="5" t="n">
        <v>15600</v>
      </c>
    </row>
    <row r="55">
      <c r="B55" t="inlineStr">
        <is>
          <t>LABORATOIRE</t>
        </is>
      </c>
      <c r="C55" s="5" t="n">
        <v>7800</v>
      </c>
    </row>
    <row r="56">
      <c r="B56" t="inlineStr">
        <is>
          <t>LOGISTIQUE</t>
        </is>
      </c>
      <c r="C56" s="5" t="n">
        <v>47900</v>
      </c>
    </row>
    <row r="57">
      <c r="B57" t="inlineStr">
        <is>
          <t>TRANSPORT</t>
        </is>
      </c>
      <c r="C57" s="5" t="n">
        <v>28400</v>
      </c>
    </row>
    <row r="58">
      <c r="B58" t="inlineStr">
        <is>
          <t>CARBURANT</t>
        </is>
      </c>
      <c r="C58" s="5" t="n">
        <v>12300</v>
      </c>
    </row>
    <row r="59">
      <c r="B59" t="inlineStr">
        <is>
          <t>ATELIER</t>
        </is>
      </c>
      <c r="C59" s="5" t="n">
        <v>7200</v>
      </c>
    </row>
    <row r="60">
      <c r="B60" s="1" t="inlineStr">
        <is>
          <t>TOTAL</t>
        </is>
      </c>
      <c r="C60" s="6">
        <f>SUM(C48:C59)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Exemple.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Exemple.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Exemple.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Exemple.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Exemple.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2026-08-26T23:08:10Z</dcterms:created>
  <dcterms:modified xsi:type="dcterms:W3CDTF">2026-08-26T23:08:10Z</dcterms:modified>
</cp:coreProperties>
</file>